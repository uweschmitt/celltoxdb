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/>
  <mc:AlternateContent xmlns:mc="http://schemas.openxmlformats.org/markup-compatibility/2006">
    <mc:Choice Requires="x15">
      <x15ac:absPath xmlns:x15ac="http://schemas.microsoft.com/office/spreadsheetml/2010/11/ac" url="/Users/alx/polybox2/dr_database/celltox_test/data/"/>
    </mc:Choice>
  </mc:AlternateContent>
  <xr:revisionPtr revIDLastSave="0" documentId="13_ncr:1_{2E402A9B-72DC-D34C-B2FB-16157B3D0F3F}" xr6:coauthVersionLast="45" xr6:coauthVersionMax="45" xr10:uidLastSave="{00000000-0000-0000-0000-000000000000}"/>
  <bookViews>
    <workbookView xWindow="0" yWindow="460" windowWidth="27320" windowHeight="14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9" i="1" l="1"/>
  <c r="B48" i="1"/>
</calcChain>
</file>

<file path=xl/sharedStrings.xml><?xml version="1.0" encoding="utf-8"?>
<sst xmlns="http://schemas.openxmlformats.org/spreadsheetml/2006/main" count="96" uniqueCount="65">
  <si>
    <t>name</t>
  </si>
  <si>
    <t>cas_number</t>
  </si>
  <si>
    <t>estimated_henry_constant</t>
  </si>
  <si>
    <t>estimated_solubility</t>
  </si>
  <si>
    <t>estimated_log_kow</t>
  </si>
  <si>
    <t>molecular_weight</t>
  </si>
  <si>
    <t>user_corrected_experimental_henry_constant</t>
  </si>
  <si>
    <t>user_corrected_experimental_log_kow</t>
  </si>
  <si>
    <t>user_corrected_estimated_solubility</t>
  </si>
  <si>
    <t>experimental_henry_constant</t>
  </si>
  <si>
    <t>experimental_solubility</t>
  </si>
  <si>
    <t>experimental_log_kow</t>
  </si>
  <si>
    <t>user_corrected_experimental_solubility</t>
  </si>
  <si>
    <t>benzo(a)pyrene</t>
  </si>
  <si>
    <t>50-32-8</t>
  </si>
  <si>
    <t>sodium dodecyl sulfate</t>
  </si>
  <si>
    <t>151-21-3</t>
  </si>
  <si>
    <t>diethylphtalate</t>
  </si>
  <si>
    <t>84-66-2</t>
  </si>
  <si>
    <t>permethrin</t>
  </si>
  <si>
    <t>52645-53-1</t>
  </si>
  <si>
    <t>Tonalide</t>
  </si>
  <si>
    <t>21145-77-7</t>
  </si>
  <si>
    <t>Atrazine</t>
  </si>
  <si>
    <t>1912-24-9</t>
  </si>
  <si>
    <t>2-Di-tert-butylphenol</t>
  </si>
  <si>
    <t>96-76-4</t>
  </si>
  <si>
    <t>diethylphthalate</t>
  </si>
  <si>
    <t>2,4,6-trichlorphenol</t>
  </si>
  <si>
    <t>88-06-2</t>
  </si>
  <si>
    <t>3,4-dichloroaniline</t>
  </si>
  <si>
    <t>95-76-1</t>
  </si>
  <si>
    <t>N-methylaniline</t>
  </si>
  <si>
    <t>100-61-8</t>
  </si>
  <si>
    <t>allyl alcohol</t>
  </si>
  <si>
    <t>107-18-6</t>
  </si>
  <si>
    <t>acrolein</t>
  </si>
  <si>
    <t>107-02-8</t>
  </si>
  <si>
    <t>rotenone</t>
  </si>
  <si>
    <t>83-79-4</t>
  </si>
  <si>
    <t>AgNO3</t>
  </si>
  <si>
    <t>7761-88-8</t>
  </si>
  <si>
    <t>n-methylaniline</t>
  </si>
  <si>
    <t>2,4,6-trichlorophenol</t>
  </si>
  <si>
    <t>atrazine</t>
  </si>
  <si>
    <t>fluoranthene</t>
  </si>
  <si>
    <t>206-44-0</t>
  </si>
  <si>
    <t>Tonalid</t>
  </si>
  <si>
    <t>(3,4) Dichloroaniline</t>
  </si>
  <si>
    <t>3,4-Dichloroaniline</t>
  </si>
  <si>
    <t>BaP</t>
  </si>
  <si>
    <t>267 g/L</t>
  </si>
  <si>
    <t>https://www.cdc.gov/niosh/npg/npgd0011.html</t>
  </si>
  <si>
    <t>http://gestis.itrust.de/nxt/gateway.dll/gestis_de/013480.xml?f=templates$fn=default.htm$3.0</t>
  </si>
  <si>
    <t>predicted</t>
  </si>
  <si>
    <t>episuite</t>
  </si>
  <si>
    <t>experimental</t>
  </si>
  <si>
    <t>at 25 deg C (mg/L):  3.177e+005</t>
  </si>
  <si>
    <t>g/L</t>
  </si>
  <si>
    <t>mg/L</t>
  </si>
  <si>
    <t>Soluble to 100 mM in DMSO and to 5 mM in ethanol</t>
  </si>
  <si>
    <t>394.141632 Da</t>
  </si>
  <si>
    <t>chemspider</t>
  </si>
  <si>
    <t>DMSO</t>
  </si>
  <si>
    <t>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</si>
</sst>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9" fontId="0" fillId="0" borderId="0" xfId="0" applyNumberFormat="1"/>
    <xf numFmtId="11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topLeftCell="A29" workbookViewId="0">
      <selection activeCell="B48" sqref="B48"/>
    </sheetView>
  </sheetViews>
  <sheetFormatPr baseColWidth="10" defaultColWidth="8.83203125" defaultRowHeight="15" x14ac:dyDescent="0.2"/>
  <cols>
    <col min="2" max="2" width="34.6640625" customWidth="1"/>
    <col min="3" max="3" width="13.83203125" customWidth="1"/>
    <col min="4" max="4" width="42.1640625" customWidth="1"/>
    <col min="5" max="5" width="21.1640625" customWidth="1"/>
    <col min="6" max="6" width="17" customWidth="1"/>
    <col min="7" max="7" width="16.1640625" customWidth="1"/>
    <col min="8" max="8" width="40.33203125" customWidth="1"/>
    <col min="9" max="9" width="28.83203125" customWidth="1"/>
    <col min="10" max="10" width="27.33203125" customWidth="1"/>
    <col min="11" max="11" width="33.5" customWidth="1"/>
    <col min="12" max="12" width="24.5" customWidth="1"/>
    <col min="13" max="13" width="24" customWidth="1"/>
    <col min="14" max="14" width="33" customWidth="1"/>
  </cols>
  <sheetData>
    <row r="1" spans="1:1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">
      <c r="A2" s="2">
        <v>46</v>
      </c>
      <c r="B2" s="3" t="s">
        <v>32</v>
      </c>
      <c r="C2" s="3" t="s">
        <v>33</v>
      </c>
      <c r="D2" s="3">
        <v>4.1799999999999998E-6</v>
      </c>
      <c r="E2" s="3">
        <v>10318</v>
      </c>
      <c r="F2" s="3">
        <v>1.62</v>
      </c>
      <c r="G2" s="3">
        <v>107.15</v>
      </c>
      <c r="H2" s="3"/>
      <c r="I2" s="3"/>
      <c r="J2" s="3"/>
      <c r="K2" s="3">
        <v>8.8799999999999997E-6</v>
      </c>
      <c r="L2" s="3">
        <v>5620</v>
      </c>
      <c r="M2" s="3">
        <v>1.66</v>
      </c>
    </row>
    <row r="3" spans="1:14" x14ac:dyDescent="0.2">
      <c r="A3" s="2">
        <v>80</v>
      </c>
      <c r="B3" s="3" t="s">
        <v>42</v>
      </c>
      <c r="C3" s="3" t="s">
        <v>33</v>
      </c>
      <c r="D3" s="3">
        <v>4.1799999999999998E-6</v>
      </c>
      <c r="E3" s="3">
        <v>10318</v>
      </c>
      <c r="F3" s="3">
        <v>1.62</v>
      </c>
      <c r="G3" s="3">
        <v>107.15</v>
      </c>
      <c r="H3" s="3"/>
      <c r="I3" s="3"/>
      <c r="J3" s="3"/>
      <c r="K3" s="3">
        <v>8.8799999999999997E-6</v>
      </c>
      <c r="L3" s="3">
        <v>5620</v>
      </c>
      <c r="M3" s="3">
        <v>1.66</v>
      </c>
    </row>
    <row r="4" spans="1:14" x14ac:dyDescent="0.2">
      <c r="A4" s="5">
        <v>49</v>
      </c>
      <c r="B4" s="4" t="s">
        <v>36</v>
      </c>
      <c r="C4" s="4" t="s">
        <v>37</v>
      </c>
      <c r="D4" s="4">
        <v>3.5800000000000003E-5</v>
      </c>
      <c r="E4" s="4">
        <v>182270</v>
      </c>
      <c r="F4" s="4">
        <v>0.19</v>
      </c>
      <c r="G4" s="4">
        <v>56.06</v>
      </c>
      <c r="K4">
        <v>1.22E-4</v>
      </c>
      <c r="L4">
        <v>212000</v>
      </c>
      <c r="M4">
        <v>-0.01</v>
      </c>
    </row>
    <row r="5" spans="1:14" x14ac:dyDescent="0.2">
      <c r="A5" s="5">
        <v>131</v>
      </c>
      <c r="B5" s="4" t="s">
        <v>36</v>
      </c>
      <c r="C5" s="4" t="s">
        <v>37</v>
      </c>
      <c r="D5" s="4">
        <v>2.5599999999999999E-4</v>
      </c>
      <c r="E5" s="4">
        <v>6.5846</v>
      </c>
      <c r="F5" s="4">
        <v>4.26</v>
      </c>
      <c r="G5" s="4">
        <v>56.06</v>
      </c>
      <c r="K5">
        <v>5.1399999999999991E-6</v>
      </c>
      <c r="L5">
        <v>7.3</v>
      </c>
      <c r="M5">
        <v>3.72</v>
      </c>
    </row>
    <row r="6" spans="1:14" x14ac:dyDescent="0.2">
      <c r="A6" s="5">
        <v>47</v>
      </c>
      <c r="B6" s="4" t="s">
        <v>34</v>
      </c>
      <c r="C6" s="4" t="s">
        <v>35</v>
      </c>
      <c r="D6" s="4">
        <v>5.5999999999999997E-6</v>
      </c>
      <c r="E6" s="4">
        <v>171390</v>
      </c>
      <c r="F6" s="4">
        <v>0.21</v>
      </c>
      <c r="G6" s="4">
        <v>58.08</v>
      </c>
      <c r="K6">
        <v>4.9899999999999997E-6</v>
      </c>
      <c r="L6">
        <v>1000000</v>
      </c>
      <c r="M6">
        <v>0.17</v>
      </c>
    </row>
    <row r="7" spans="1:14" x14ac:dyDescent="0.2">
      <c r="A7" s="5">
        <v>129</v>
      </c>
      <c r="B7" s="4" t="s">
        <v>34</v>
      </c>
      <c r="C7" s="4" t="s">
        <v>35</v>
      </c>
      <c r="D7" s="4">
        <v>2.5599999999999999E-4</v>
      </c>
      <c r="E7" s="4">
        <v>6.5846</v>
      </c>
      <c r="F7" s="4">
        <v>4.26</v>
      </c>
      <c r="G7" s="4">
        <v>58.08</v>
      </c>
      <c r="K7">
        <v>5.1399999999999991E-6</v>
      </c>
      <c r="L7">
        <v>7.3</v>
      </c>
      <c r="M7">
        <v>3.72</v>
      </c>
    </row>
    <row r="8" spans="1:14" x14ac:dyDescent="0.2">
      <c r="A8" s="5">
        <v>10</v>
      </c>
      <c r="B8" s="4" t="s">
        <v>15</v>
      </c>
      <c r="C8" s="4" t="s">
        <v>16</v>
      </c>
      <c r="D8" s="4">
        <v>1.8400000000000001E-7</v>
      </c>
      <c r="E8" s="4">
        <v>1.3734E-2</v>
      </c>
      <c r="F8" s="4">
        <v>1.69</v>
      </c>
      <c r="G8" s="4">
        <v>288.38</v>
      </c>
      <c r="L8">
        <v>100000</v>
      </c>
      <c r="M8">
        <v>1.6</v>
      </c>
    </row>
    <row r="9" spans="1:14" x14ac:dyDescent="0.2">
      <c r="A9" s="5">
        <v>132</v>
      </c>
      <c r="B9" s="4" t="s">
        <v>15</v>
      </c>
      <c r="C9" s="4" t="s">
        <v>16</v>
      </c>
      <c r="D9" s="4">
        <v>2.5599999999999999E-4</v>
      </c>
      <c r="E9" s="4">
        <v>6.5846</v>
      </c>
      <c r="F9" s="4">
        <v>4.26</v>
      </c>
      <c r="G9" s="4">
        <v>288.38</v>
      </c>
      <c r="K9">
        <v>5.1399999999999991E-6</v>
      </c>
      <c r="L9">
        <v>7.3</v>
      </c>
      <c r="M9">
        <v>3.72</v>
      </c>
    </row>
    <row r="10" spans="1:14" x14ac:dyDescent="0.2">
      <c r="A10" s="1">
        <v>26</v>
      </c>
      <c r="B10" s="3" t="s">
        <v>23</v>
      </c>
      <c r="C10" s="3" t="s">
        <v>24</v>
      </c>
      <c r="D10" s="3">
        <v>4.4699999999999997E-9</v>
      </c>
      <c r="E10" s="3">
        <v>44.994999999999997</v>
      </c>
      <c r="F10" s="3">
        <v>2.82</v>
      </c>
      <c r="G10" s="3">
        <v>215.68</v>
      </c>
      <c r="K10">
        <v>2.3600000000000001E-9</v>
      </c>
      <c r="L10">
        <v>34.700000000000003</v>
      </c>
      <c r="M10">
        <v>2.61</v>
      </c>
    </row>
    <row r="11" spans="1:14" x14ac:dyDescent="0.2">
      <c r="A11" s="1">
        <v>84</v>
      </c>
      <c r="B11" s="3" t="s">
        <v>44</v>
      </c>
      <c r="C11" s="3" t="s">
        <v>24</v>
      </c>
      <c r="D11" s="3">
        <v>4.4699999999999997E-9</v>
      </c>
      <c r="E11" s="3">
        <v>44.994999999999997</v>
      </c>
      <c r="F11" s="3">
        <v>2.82</v>
      </c>
      <c r="G11" s="3">
        <v>215.68</v>
      </c>
      <c r="K11">
        <v>2.3600000000000001E-9</v>
      </c>
      <c r="L11">
        <v>34.700000000000003</v>
      </c>
      <c r="M11">
        <v>2.61</v>
      </c>
    </row>
    <row r="12" spans="1:14" x14ac:dyDescent="0.2">
      <c r="A12" s="1">
        <v>87</v>
      </c>
      <c r="B12" s="3" t="s">
        <v>45</v>
      </c>
      <c r="C12" s="3" t="s">
        <v>46</v>
      </c>
      <c r="D12" s="3">
        <v>8.3000000000000002E-6</v>
      </c>
      <c r="E12" s="3">
        <v>9.0523999999999993E-2</v>
      </c>
      <c r="F12" s="3">
        <v>4.93</v>
      </c>
      <c r="G12" s="3">
        <v>202.25</v>
      </c>
      <c r="K12">
        <v>8.8599999999999999E-6</v>
      </c>
      <c r="L12">
        <v>0.26</v>
      </c>
      <c r="M12">
        <v>5.16</v>
      </c>
    </row>
    <row r="13" spans="1:14" x14ac:dyDescent="0.2">
      <c r="A13" s="1">
        <v>193</v>
      </c>
      <c r="B13" s="3" t="s">
        <v>45</v>
      </c>
      <c r="C13" s="3" t="s">
        <v>46</v>
      </c>
      <c r="D13" s="3"/>
      <c r="E13" s="3"/>
      <c r="F13" s="3"/>
      <c r="G13" s="3"/>
    </row>
    <row r="14" spans="1:14" x14ac:dyDescent="0.2">
      <c r="A14" s="2">
        <v>17</v>
      </c>
      <c r="B14" s="3" t="s">
        <v>21</v>
      </c>
      <c r="C14" s="3" t="s">
        <v>22</v>
      </c>
      <c r="D14" s="3">
        <v>4.2200000000000003E-5</v>
      </c>
      <c r="E14" s="3">
        <v>0.36931000000000003</v>
      </c>
      <c r="F14" s="3">
        <v>6.35</v>
      </c>
      <c r="G14" s="3">
        <v>258.39999999999998</v>
      </c>
      <c r="H14" s="3">
        <v>1.5849E-5</v>
      </c>
      <c r="I14" s="3">
        <v>5.7</v>
      </c>
      <c r="J14" s="3"/>
      <c r="K14" s="3">
        <v>1.3899999999999999E-4</v>
      </c>
      <c r="L14" s="3">
        <v>1.25</v>
      </c>
      <c r="M14" s="3">
        <v>5.7</v>
      </c>
      <c r="N14" s="3">
        <v>1.2</v>
      </c>
    </row>
    <row r="15" spans="1:14" x14ac:dyDescent="0.2">
      <c r="A15" s="2">
        <v>96</v>
      </c>
      <c r="B15" s="3" t="s">
        <v>47</v>
      </c>
      <c r="C15" s="3" t="s">
        <v>22</v>
      </c>
      <c r="D15" s="3">
        <v>4.2200000000000003E-5</v>
      </c>
      <c r="E15" s="3">
        <v>0.36931000000000003</v>
      </c>
      <c r="F15" s="3">
        <v>6.35</v>
      </c>
      <c r="G15" s="3">
        <v>258.39999999999998</v>
      </c>
      <c r="H15" s="3"/>
      <c r="I15" s="3"/>
      <c r="J15" s="3"/>
      <c r="K15" s="3">
        <v>1.3899999999999999E-4</v>
      </c>
      <c r="L15" s="3">
        <v>1.25</v>
      </c>
      <c r="M15" s="3">
        <v>5.7</v>
      </c>
      <c r="N15" s="3"/>
    </row>
    <row r="16" spans="1:14" x14ac:dyDescent="0.2">
      <c r="A16" s="1">
        <v>9</v>
      </c>
      <c r="B16" s="3" t="s">
        <v>13</v>
      </c>
      <c r="C16" s="3" t="s">
        <v>14</v>
      </c>
      <c r="D16" s="3">
        <v>8.0999999999999997E-7</v>
      </c>
      <c r="E16" s="3">
        <v>2.0005999999999999E-3</v>
      </c>
      <c r="F16" s="3">
        <v>6.11</v>
      </c>
      <c r="G16" s="3"/>
      <c r="H16" s="3"/>
      <c r="I16" s="3"/>
      <c r="J16" s="3"/>
      <c r="K16" s="3">
        <v>4.5699999999999998E-7</v>
      </c>
      <c r="L16" s="3">
        <v>1.6199999999999999E-3</v>
      </c>
      <c r="M16" s="3">
        <v>6.13</v>
      </c>
      <c r="N16" s="3"/>
    </row>
    <row r="17" spans="1:15" x14ac:dyDescent="0.2">
      <c r="A17" s="1">
        <v>194</v>
      </c>
      <c r="B17" s="3" t="s">
        <v>50</v>
      </c>
      <c r="C17" s="3" t="s">
        <v>14</v>
      </c>
      <c r="D17" s="3">
        <v>8.0999999999999997E-7</v>
      </c>
      <c r="E17" s="3">
        <v>2.0005999999999999E-3</v>
      </c>
      <c r="F17" s="3">
        <v>6.11</v>
      </c>
      <c r="G17" s="3"/>
      <c r="H17" s="3"/>
      <c r="I17" s="3"/>
      <c r="J17" s="3"/>
      <c r="K17" s="3">
        <v>4.5699999999999998E-7</v>
      </c>
      <c r="L17" s="3">
        <v>1.6199999999999999E-3</v>
      </c>
      <c r="M17" s="3">
        <v>6.13</v>
      </c>
      <c r="N17" s="3"/>
    </row>
    <row r="18" spans="1:15" x14ac:dyDescent="0.2">
      <c r="A18" s="1">
        <v>14</v>
      </c>
      <c r="B18" s="3" t="s">
        <v>19</v>
      </c>
      <c r="C18" s="3" t="s">
        <v>20</v>
      </c>
      <c r="D18" s="3">
        <v>2.8799999999999998E-7</v>
      </c>
      <c r="E18" s="3">
        <v>2.3787999999999999E-3</v>
      </c>
      <c r="F18" s="3">
        <v>7.43</v>
      </c>
      <c r="G18" s="3">
        <v>391.3</v>
      </c>
      <c r="H18" s="3"/>
      <c r="I18" s="3"/>
      <c r="J18" s="3"/>
      <c r="K18" s="3">
        <v>1.8700000000000001E-6</v>
      </c>
      <c r="L18" s="3">
        <v>6.0000000000000001E-3</v>
      </c>
      <c r="M18" s="3">
        <v>6.5</v>
      </c>
    </row>
    <row r="19" spans="1:15" x14ac:dyDescent="0.2">
      <c r="A19" s="1">
        <v>188</v>
      </c>
      <c r="B19" s="3" t="s">
        <v>19</v>
      </c>
      <c r="C19" s="3" t="s">
        <v>20</v>
      </c>
      <c r="D19" s="3"/>
      <c r="E19" s="3"/>
      <c r="F19" s="3"/>
      <c r="G19" s="3">
        <v>391.28</v>
      </c>
      <c r="H19" s="3"/>
      <c r="I19" s="3"/>
      <c r="J19" s="3"/>
      <c r="K19" s="3"/>
      <c r="L19" s="3"/>
      <c r="M19" s="3"/>
    </row>
    <row r="20" spans="1:15" x14ac:dyDescent="0.2">
      <c r="A20" s="1">
        <v>65</v>
      </c>
      <c r="B20" s="3" t="s">
        <v>40</v>
      </c>
      <c r="C20" s="3" t="s">
        <v>41</v>
      </c>
      <c r="D20" s="3"/>
      <c r="E20" s="3">
        <v>110970</v>
      </c>
      <c r="F20" s="3">
        <v>0.19</v>
      </c>
      <c r="G20" s="3">
        <v>169.87299999999999</v>
      </c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1">
        <v>128</v>
      </c>
      <c r="B21" s="3" t="s">
        <v>40</v>
      </c>
      <c r="C21" s="3" t="s">
        <v>41</v>
      </c>
      <c r="D21" s="3"/>
      <c r="E21" s="3"/>
      <c r="F21" s="3"/>
      <c r="G21" s="3">
        <v>169.87299999999999</v>
      </c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1">
        <v>55</v>
      </c>
      <c r="B22" s="4" t="s">
        <v>38</v>
      </c>
      <c r="C22" s="4" t="s">
        <v>39</v>
      </c>
      <c r="D22" s="4">
        <v>1.12E-13</v>
      </c>
      <c r="E22" s="4">
        <v>1.3115999999999999E-2</v>
      </c>
      <c r="F22" s="4">
        <v>4.3099999999999996</v>
      </c>
      <c r="G22" s="4">
        <v>394.4</v>
      </c>
      <c r="L22">
        <v>0.2</v>
      </c>
      <c r="M22">
        <v>4.0999999999999996</v>
      </c>
    </row>
    <row r="23" spans="1:15" x14ac:dyDescent="0.2">
      <c r="A23" s="1">
        <v>130</v>
      </c>
      <c r="B23" s="4" t="s">
        <v>38</v>
      </c>
      <c r="C23" s="4" t="s">
        <v>39</v>
      </c>
      <c r="D23" s="4">
        <v>2.5599999999999999E-4</v>
      </c>
      <c r="E23" s="4">
        <v>6.5846</v>
      </c>
      <c r="F23" s="4">
        <v>4.26</v>
      </c>
      <c r="G23" s="4">
        <v>394.4</v>
      </c>
      <c r="K23">
        <v>5.1399999999999991E-6</v>
      </c>
      <c r="L23">
        <v>7.3</v>
      </c>
      <c r="M23">
        <v>3.72</v>
      </c>
    </row>
    <row r="24" spans="1:15" x14ac:dyDescent="0.2">
      <c r="A24" s="1">
        <v>12</v>
      </c>
      <c r="B24" s="3" t="s">
        <v>17</v>
      </c>
      <c r="C24" s="3" t="s">
        <v>18</v>
      </c>
      <c r="D24" s="3">
        <v>3.9400000000000001E-7</v>
      </c>
      <c r="E24" s="3">
        <v>719.88</v>
      </c>
      <c r="F24" s="3">
        <v>2.65</v>
      </c>
      <c r="G24" s="3">
        <v>222.24</v>
      </c>
      <c r="H24" s="3"/>
      <c r="I24" s="3"/>
      <c r="J24" s="3"/>
      <c r="K24" s="3">
        <v>6.0999999999999998E-7</v>
      </c>
      <c r="L24" s="3">
        <v>1080</v>
      </c>
      <c r="M24" s="3">
        <v>2.42</v>
      </c>
      <c r="N24" s="3"/>
    </row>
    <row r="25" spans="1:15" x14ac:dyDescent="0.2">
      <c r="A25" s="1">
        <v>36</v>
      </c>
      <c r="B25" s="3" t="s">
        <v>27</v>
      </c>
      <c r="C25" s="3" t="s">
        <v>18</v>
      </c>
      <c r="D25" s="3">
        <v>3.9400000000000001E-7</v>
      </c>
      <c r="E25" s="3">
        <v>719.88</v>
      </c>
      <c r="F25" s="3">
        <v>2.65</v>
      </c>
      <c r="G25" s="3">
        <v>222.24</v>
      </c>
      <c r="H25" s="3"/>
      <c r="I25" s="3"/>
      <c r="J25" s="3"/>
      <c r="K25" s="3">
        <v>6.0999999999999998E-7</v>
      </c>
      <c r="L25" s="3">
        <v>1080</v>
      </c>
      <c r="M25" s="3">
        <v>2.42</v>
      </c>
      <c r="N25" s="3"/>
    </row>
    <row r="26" spans="1:15" x14ac:dyDescent="0.2">
      <c r="A26" s="1">
        <v>44</v>
      </c>
      <c r="B26" s="3" t="s">
        <v>28</v>
      </c>
      <c r="C26" s="3" t="s">
        <v>29</v>
      </c>
      <c r="D26" s="3">
        <v>2.28E-7</v>
      </c>
      <c r="E26" s="3">
        <v>808.19</v>
      </c>
      <c r="F26" s="3">
        <v>3.45</v>
      </c>
      <c r="G26" s="3"/>
      <c r="K26">
        <v>2.6000000000000001E-6</v>
      </c>
      <c r="L26">
        <v>800</v>
      </c>
      <c r="M26">
        <v>3.69</v>
      </c>
    </row>
    <row r="27" spans="1:15" x14ac:dyDescent="0.2">
      <c r="A27" s="1">
        <v>82</v>
      </c>
      <c r="B27" s="3" t="s">
        <v>43</v>
      </c>
      <c r="C27" s="3" t="s">
        <v>29</v>
      </c>
      <c r="D27" s="3">
        <v>2.28E-7</v>
      </c>
      <c r="E27" s="3">
        <v>808.19</v>
      </c>
      <c r="F27" s="3">
        <v>3.45</v>
      </c>
      <c r="G27" s="3">
        <v>197.4</v>
      </c>
      <c r="K27">
        <v>2.6000000000000001E-6</v>
      </c>
      <c r="L27">
        <v>800</v>
      </c>
      <c r="M27">
        <v>3.69</v>
      </c>
    </row>
    <row r="28" spans="1:15" x14ac:dyDescent="0.2">
      <c r="A28" s="1">
        <v>45</v>
      </c>
      <c r="B28" s="3" t="s">
        <v>30</v>
      </c>
      <c r="C28" s="3" t="s">
        <v>31</v>
      </c>
      <c r="D28" s="3">
        <v>1.0499999999999999E-6</v>
      </c>
      <c r="E28" s="3">
        <v>1350.9</v>
      </c>
      <c r="F28" s="3">
        <v>2.37</v>
      </c>
      <c r="G28" s="3">
        <v>162.01</v>
      </c>
      <c r="K28">
        <v>1.4600000000000001E-5</v>
      </c>
      <c r="L28">
        <v>92</v>
      </c>
      <c r="M28">
        <v>2.69</v>
      </c>
    </row>
    <row r="29" spans="1:15" x14ac:dyDescent="0.2">
      <c r="A29" s="1">
        <v>116</v>
      </c>
      <c r="B29" s="3" t="s">
        <v>48</v>
      </c>
      <c r="C29" s="3" t="s">
        <v>31</v>
      </c>
      <c r="D29" s="3"/>
      <c r="E29" s="3"/>
      <c r="F29" s="3"/>
      <c r="G29" s="3">
        <v>162.01</v>
      </c>
    </row>
    <row r="30" spans="1:15" x14ac:dyDescent="0.2">
      <c r="A30" s="1">
        <v>127</v>
      </c>
      <c r="B30" s="3" t="s">
        <v>49</v>
      </c>
      <c r="C30" s="3" t="s">
        <v>31</v>
      </c>
      <c r="D30" s="3"/>
      <c r="E30" s="3"/>
      <c r="F30" s="3"/>
      <c r="G30" s="3">
        <v>162.01</v>
      </c>
    </row>
    <row r="31" spans="1:15" x14ac:dyDescent="0.2">
      <c r="A31" s="1">
        <v>29</v>
      </c>
      <c r="B31" s="3" t="s">
        <v>25</v>
      </c>
      <c r="C31" s="3" t="s">
        <v>26</v>
      </c>
      <c r="D31" s="3">
        <v>3.7400000000000002E-6</v>
      </c>
      <c r="E31" s="3">
        <v>32.493000000000002</v>
      </c>
      <c r="F31" s="3">
        <v>5.33</v>
      </c>
      <c r="G31" s="3">
        <v>206.32</v>
      </c>
      <c r="H31" s="3"/>
      <c r="I31" s="3"/>
      <c r="J31" s="3"/>
      <c r="L31">
        <v>35</v>
      </c>
      <c r="M31">
        <v>5.19</v>
      </c>
    </row>
    <row r="32" spans="1:15" x14ac:dyDescent="0.2">
      <c r="A32" s="1">
        <v>120</v>
      </c>
      <c r="B32" s="3" t="s">
        <v>25</v>
      </c>
      <c r="C32" s="3" t="s">
        <v>26</v>
      </c>
      <c r="D32" s="3"/>
      <c r="E32" s="3"/>
      <c r="F32" s="3"/>
      <c r="G32" s="3">
        <v>206.32</v>
      </c>
      <c r="H32" s="3"/>
      <c r="I32" s="3"/>
      <c r="J32" s="3"/>
    </row>
    <row r="37" spans="2:6" x14ac:dyDescent="0.2">
      <c r="B37" t="s">
        <v>36</v>
      </c>
      <c r="C37" t="s">
        <v>56</v>
      </c>
      <c r="D37" t="s">
        <v>51</v>
      </c>
      <c r="E37" t="s">
        <v>53</v>
      </c>
    </row>
    <row r="38" spans="2:6" x14ac:dyDescent="0.2">
      <c r="D38" s="6">
        <v>0.4</v>
      </c>
      <c r="E38" t="s">
        <v>52</v>
      </c>
    </row>
    <row r="40" spans="2:6" ht="16" x14ac:dyDescent="0.25">
      <c r="B40" t="s">
        <v>34</v>
      </c>
      <c r="C40" t="s">
        <v>54</v>
      </c>
      <c r="D40" s="7">
        <v>317700</v>
      </c>
      <c r="E40" t="s">
        <v>55</v>
      </c>
      <c r="F40" s="8" t="s">
        <v>57</v>
      </c>
    </row>
    <row r="43" spans="2:6" x14ac:dyDescent="0.2">
      <c r="B43" t="s">
        <v>15</v>
      </c>
      <c r="C43" t="s">
        <v>56</v>
      </c>
      <c r="D43">
        <v>28.8137115</v>
      </c>
      <c r="E43" t="s">
        <v>58</v>
      </c>
    </row>
    <row r="44" spans="2:6" x14ac:dyDescent="0.2">
      <c r="D44">
        <v>28813.711500000001</v>
      </c>
      <c r="E44" t="s">
        <v>59</v>
      </c>
    </row>
    <row r="46" spans="2:6" x14ac:dyDescent="0.2">
      <c r="B46" t="s">
        <v>38</v>
      </c>
      <c r="C46" t="s">
        <v>38</v>
      </c>
      <c r="D46" t="s">
        <v>60</v>
      </c>
      <c r="E46" t="s">
        <v>62</v>
      </c>
    </row>
    <row r="47" spans="2:6" x14ac:dyDescent="0.2">
      <c r="B47" t="s">
        <v>59</v>
      </c>
    </row>
    <row r="48" spans="2:6" x14ac:dyDescent="0.2">
      <c r="B48">
        <f>0.1*394.141632*1000</f>
        <v>39414.163200000003</v>
      </c>
      <c r="C48" t="s">
        <v>63</v>
      </c>
      <c r="D48" t="s">
        <v>61</v>
      </c>
    </row>
    <row r="49" spans="2:3" x14ac:dyDescent="0.2">
      <c r="B49">
        <f>0.005*394.141632*1000</f>
        <v>1970.7081600000001</v>
      </c>
      <c r="C49" t="s">
        <v>64</v>
      </c>
    </row>
  </sheetData>
  <sortState xmlns:xlrd2="http://schemas.microsoft.com/office/spreadsheetml/2017/richdata2" ref="A2:N32">
    <sortCondition ref="C2:C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2020-07-02T18:09:17Z</dcterms:created>
  <dcterms:modified xsi:type="dcterms:W3CDTF">2020-07-02T18:28:28Z</dcterms:modified>
</cp:coreProperties>
</file>